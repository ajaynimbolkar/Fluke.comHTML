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240" yWindow="165" windowWidth="14805" windowHeight="7950"/>
  </bookViews>
  <sheets>
    <sheet name="Introduction" sheetId="3" r:id="rId1"/>
    <sheet name="Auto_vs._Manual" sheetId="4" r:id="rId2"/>
    <sheet name="METCAL ROI" sheetId="1" r:id="rId3"/>
    <sheet name="MS Gold ROI" sheetId="2" r:id="rId4"/>
  </sheets>
  <calcPr calcId="152511"/>
</workbook>
</file>

<file path=xl/calcChain.xml><?xml version="1.0" encoding="utf-8"?>
<calcChain xmlns="http://schemas.openxmlformats.org/spreadsheetml/2006/main">
  <c r="C24" i="2" l="1"/>
  <c r="C15" i="2"/>
  <c r="C8" i="1"/>
  <c r="E9" i="4"/>
  <c r="E10" i="4"/>
  <c r="E13" i="4"/>
  <c r="E14" i="4"/>
  <c r="E17" i="4"/>
  <c r="E18" i="4"/>
  <c r="E21" i="4"/>
  <c r="E8" i="4"/>
  <c r="E22" i="4" s="1"/>
  <c r="C15" i="1" s="1"/>
  <c r="C18" i="1" s="1"/>
  <c r="D9" i="4"/>
  <c r="D10" i="4"/>
  <c r="D11" i="4"/>
  <c r="E11" i="4" s="1"/>
  <c r="D12" i="4"/>
  <c r="E12" i="4" s="1"/>
  <c r="D13" i="4"/>
  <c r="D14" i="4"/>
  <c r="D15" i="4"/>
  <c r="E15" i="4" s="1"/>
  <c r="D16" i="4"/>
  <c r="E16" i="4" s="1"/>
  <c r="D17" i="4"/>
  <c r="D18" i="4"/>
  <c r="D19" i="4"/>
  <c r="E19" i="4" s="1"/>
  <c r="D20" i="4"/>
  <c r="E20" i="4" s="1"/>
  <c r="D21" i="4"/>
  <c r="D8" i="4"/>
  <c r="C19" i="1" l="1"/>
  <c r="C17" i="2"/>
  <c r="C8" i="2"/>
  <c r="C20" i="2"/>
  <c r="C27" i="2" l="1"/>
  <c r="C28" i="2" s="1"/>
</calcChain>
</file>

<file path=xl/comments1.xml><?xml version="1.0" encoding="utf-8"?>
<comments xmlns="http://schemas.openxmlformats.org/spreadsheetml/2006/main">
  <authors>
    <author>Author</author>
  </authors>
  <commentList>
    <comment ref="A8" authorId="0" shapeId="0">
      <text>
        <r>
          <rPr>
            <sz val="9"/>
            <color indexed="81"/>
            <rFont val="Tahoma"/>
            <family val="2"/>
          </rPr>
          <t xml:space="preserve">Fully automated
</t>
        </r>
      </text>
    </comment>
    <comment ref="A10" authorId="0" shapeId="0">
      <text>
        <r>
          <rPr>
            <sz val="9"/>
            <color indexed="81"/>
            <rFont val="Tahoma"/>
            <family val="2"/>
          </rPr>
          <t>Fully automated</t>
        </r>
      </text>
    </comment>
    <comment ref="A11" authorId="0" shapeId="0">
      <text>
        <r>
          <rPr>
            <sz val="9"/>
            <color indexed="81"/>
            <rFont val="Tahoma"/>
            <family val="2"/>
          </rPr>
          <t>3 phase</t>
        </r>
        <r>
          <rPr>
            <b/>
            <sz val="9"/>
            <color indexed="81"/>
            <rFont val="Tahoma"/>
            <family val="2"/>
          </rPr>
          <t xml:space="preserve">
</t>
        </r>
      </text>
    </comment>
    <comment ref="A19" authorId="0" shapeId="0">
      <text>
        <r>
          <rPr>
            <sz val="9"/>
            <color indexed="81"/>
            <rFont val="Tahoma"/>
            <family val="2"/>
          </rPr>
          <t>AC/DC, newer models, electronic loads as references</t>
        </r>
      </text>
    </comment>
    <comment ref="E22" authorId="0" shapeId="0">
      <text>
        <r>
          <rPr>
            <sz val="9"/>
            <color indexed="81"/>
            <rFont val="Tahoma"/>
            <family val="2"/>
          </rPr>
          <t>Assume 30% of manual calibration time is spent on result documentation.</t>
        </r>
      </text>
    </comment>
  </commentList>
</comments>
</file>

<file path=xl/sharedStrings.xml><?xml version="1.0" encoding="utf-8"?>
<sst xmlns="http://schemas.openxmlformats.org/spreadsheetml/2006/main" count="80" uniqueCount="76">
  <si>
    <t>Hourly Rate (fully burdened)</t>
  </si>
  <si>
    <t>Phase Angle Meters</t>
  </si>
  <si>
    <t>Spectrum Analyzers</t>
  </si>
  <si>
    <t>Signal Generators</t>
  </si>
  <si>
    <t>RF Power Meters</t>
  </si>
  <si>
    <t>Process Calibrators</t>
  </si>
  <si>
    <t>Data Acquisition</t>
  </si>
  <si>
    <t>Frequency Counter</t>
  </si>
  <si>
    <t>Function Generators</t>
  </si>
  <si>
    <t>Audio Analyzers</t>
  </si>
  <si>
    <t>Percentage of needed procedures in M/S library</t>
  </si>
  <si>
    <t>Working weeks/year</t>
  </si>
  <si>
    <t>Cost of software upgrade</t>
  </si>
  <si>
    <t>Upgrade Frequency (once per # years)</t>
  </si>
  <si>
    <t>Check your local price list</t>
  </si>
  <si>
    <t>Database repair time/year</t>
  </si>
  <si>
    <t>Return on Investment Analysis for</t>
  </si>
  <si>
    <t>MET/SUPPORT Gold Program</t>
  </si>
  <si>
    <t>Enter customer data in the yellow fields to reflect their cost and workload.</t>
  </si>
  <si>
    <t xml:space="preserve">This ROI tool is designed to help estimate the cost savings from calibration automation through calibraion software and software maintaince program. The target audience for this tool is likely to be Lab Manager/Quality Manager and/or some other individual involved in the financial management of a calibration lab. </t>
  </si>
  <si>
    <t>Initial Investment</t>
  </si>
  <si>
    <t>Net annual savings from MET/SUPPORT Gold</t>
  </si>
  <si>
    <t>Return on Investment Considerations</t>
  </si>
  <si>
    <t>Return on Investment from Productivity Increase</t>
  </si>
  <si>
    <t>Manual</t>
  </si>
  <si>
    <t>Digital Oscilloscopes</t>
  </si>
  <si>
    <t>5.5 / 6.5 Digit DMMs</t>
  </si>
  <si>
    <t>7.5 / 8.5 Digit DMMs</t>
  </si>
  <si>
    <t>w/ MET/CAL</t>
  </si>
  <si>
    <t>Power Supplies</t>
  </si>
  <si>
    <t>Variable based on UUT</t>
  </si>
  <si>
    <t>Lab Operational Information</t>
  </si>
  <si>
    <t>Estimated average calibration time (hour)</t>
  </si>
  <si>
    <t>Result Documentation</t>
  </si>
  <si>
    <t>Time Saving</t>
  </si>
  <si>
    <t>Working weeks / year</t>
  </si>
  <si>
    <t>% Saved</t>
  </si>
  <si>
    <t>Average Time Saving from Calibration Automation</t>
  </si>
  <si>
    <t>Manual vs. Automated Calibration Time Estimates</t>
  </si>
  <si>
    <t>Enter current local list prices in the blue fields.</t>
  </si>
  <si>
    <t>The "METCAL ROI" sheet calculates annual cost saving through purchasing MET/CAL for calibration automation.</t>
  </si>
  <si>
    <t>The "MS Gold ROI" sheet estimates cost saving through purchasing the MET/SUPPORT Gold annual maintainance and support program for MET/CAL.</t>
  </si>
  <si>
    <t>The "Auto_vs_Manual" sheet is for use of reference.</t>
  </si>
  <si>
    <t>Time saving through automated calibration</t>
  </si>
  <si>
    <t># of Technicians</t>
  </si>
  <si>
    <t xml:space="preserve">Manual documentation is eliminated </t>
  </si>
  <si>
    <t>Power Quality Analyzers</t>
  </si>
  <si>
    <t>The table below shows estimated industry average time saving from calibration automation for sample DC/LF and RF UUTs. The average time saving from this spreadsheet is used in the "METCAL ROI" calculation.</t>
  </si>
  <si>
    <t>Hours spent in manual calibration / week / person</t>
  </si>
  <si>
    <t>Annual savings from automation</t>
  </si>
  <si>
    <t>Payback period</t>
  </si>
  <si>
    <t>Year(s)</t>
  </si>
  <si>
    <t>MET/SUPPORT Gold ROI</t>
  </si>
  <si>
    <t>Annual upgrade cost savings</t>
  </si>
  <si>
    <t>Annual procedure cost savings</t>
  </si>
  <si>
    <t>Training cost savings with Gold discount</t>
  </si>
  <si>
    <t>Return on Investment Summary</t>
  </si>
  <si>
    <t>MET/SUPPORT Gold Price</t>
  </si>
  <si>
    <t>Check your local price list for appropriate P/N for customer's number of database and licenses</t>
  </si>
  <si>
    <t>Weekly technician time in procedure writing (hours)</t>
  </si>
  <si>
    <t>Technician hourly rate</t>
  </si>
  <si>
    <t>Weekly manual cal time to be reduced by Gold procedures (hours)</t>
  </si>
  <si>
    <t>External procedure purchases cost / year</t>
  </si>
  <si>
    <t>Total annual cost on procedures</t>
  </si>
  <si>
    <t>Annual training cost (any training classes at Fluke Calibration)</t>
  </si>
  <si>
    <t>Database maintenance cost savings</t>
  </si>
  <si>
    <t>Database repair expense</t>
  </si>
  <si>
    <t>Check your local price list for the appropriate P/N for customer's number of database and licenses</t>
  </si>
  <si>
    <r>
      <t xml:space="preserve">MET/CAL </t>
    </r>
    <r>
      <rPr>
        <b/>
        <sz val="13"/>
        <color theme="3"/>
        <rFont val="Calibri"/>
        <family val="2"/>
        <scheme val="minor"/>
      </rPr>
      <t>Software ROI</t>
    </r>
  </si>
  <si>
    <t>Price of MET/CAL/TEAMXP</t>
  </si>
  <si>
    <t>Price of MET/CAL-TL</t>
  </si>
  <si>
    <t># of additional MET/CAL licenses</t>
  </si>
  <si>
    <t># of MET/CAL/TEAMXP servers</t>
  </si>
  <si>
    <r>
      <t>Total cost of MET/CAL</t>
    </r>
    <r>
      <rPr>
        <sz val="11"/>
        <color theme="1"/>
        <rFont val="Calibri"/>
        <family val="2"/>
        <scheme val="minor"/>
      </rPr>
      <t xml:space="preserve"> Software</t>
    </r>
  </si>
  <si>
    <r>
      <t xml:space="preserve">Check out the Gold Procedure library at </t>
    </r>
    <r>
      <rPr>
        <b/>
        <sz val="11"/>
        <color theme="1"/>
        <rFont val="Calibri"/>
        <family val="2"/>
        <scheme val="minor"/>
      </rPr>
      <t>http://us.flukecal.com/support/my-met-support/procedures</t>
    </r>
  </si>
  <si>
    <t>MET/CAL Calibration Management Software (with MET/TEAM Express)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</si>
</sst>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4" formatCode="_(&quot;$&quot;* #,##0.00_);_(&quot;$&quot;* \(#,##0.00\);_(&quot;$&quot;* &quot;-&quot;??_);_(@_)"/>
    <numFmt numFmtId="43" formatCode="_(* #,##0.00_);_(* \(#,##0.00\);_(* &quot;-&quot;??_);_(@_)"/>
    <numFmt numFmtId="164" formatCode="_(&quot;$&quot;* #,##0_);_(&quot;$&quot;* \(#,##0\);_(&quot;$&quot;* &quot;-&quot;??_);_(@_)"/>
  </numFmts>
  <fonts count="11" x14ac:knownFonts="1">
    <font>
      <sz val="11"/>
      <color theme="1"/>
      <name val="Calibri"/>
      <family val="2"/>
      <scheme val="minor"/>
    </font>
    <font>
      <sz val="11"/>
      <color theme="1"/>
      <name val="Calibri"/>
      <family val="2"/>
      <scheme val="minor"/>
    </font>
    <font>
      <b/>
      <sz val="11"/>
      <color theme="1"/>
      <name val="Calibri"/>
      <family val="2"/>
      <scheme val="minor"/>
    </font>
    <font>
      <b/>
      <sz val="13"/>
      <color theme="3"/>
      <name val="Calibri"/>
      <family val="2"/>
      <scheme val="minor"/>
    </font>
    <font>
      <b/>
      <sz val="11"/>
      <color theme="3"/>
      <name val="Calibri"/>
      <family val="2"/>
      <scheme val="minor"/>
    </font>
    <font>
      <sz val="12"/>
      <color theme="1"/>
      <name val="Calibri"/>
      <family val="2"/>
      <scheme val="minor"/>
    </font>
    <font>
      <b/>
      <sz val="12"/>
      <color theme="1"/>
      <name val="Calibri"/>
      <family val="2"/>
      <scheme val="minor"/>
    </font>
    <font>
      <sz val="9"/>
      <color indexed="81"/>
      <name val="Tahoma"/>
      <family val="2"/>
    </font>
    <font>
      <b/>
      <sz val="9"/>
      <color indexed="81"/>
      <name val="Tahoma"/>
      <family val="2"/>
    </font>
    <font>
      <sz val="11"/>
      <color theme="3"/>
      <name val="Calibri"/>
      <family val="2"/>
      <scheme val="minor"/>
    </font>
    <font>
      <sz val="9"/>
      <color theme="1"/>
      <name val="Calibri"/>
      <family val="2"/>
      <scheme val="minor"/>
    </font>
  </fonts>
  <fills count="5">
    <fill>
      <patternFill patternType="none"/>
    </fill>
    <fill>
      <patternFill patternType="gray125"/>
    </fill>
    <fill>
      <patternFill patternType="solid">
        <fgColor theme="4" tint="0.79998168889431442"/>
        <bgColor indexed="65"/>
      </patternFill>
    </fill>
    <fill>
      <patternFill patternType="solid">
        <fgColor theme="3" tint="0.79998168889431442"/>
        <bgColor indexed="64"/>
      </patternFill>
    </fill>
    <fill>
      <patternFill patternType="solid">
        <fgColor rgb="FFFFFF99"/>
        <bgColor indexed="64"/>
      </patternFill>
    </fill>
  </fills>
  <borders count="8">
    <border>
      <left/>
      <right/>
      <top/>
      <bottom/>
      <diagonal/>
    </border>
    <border>
      <left/>
      <right/>
      <top/>
      <bottom style="thick">
        <color theme="4" tint="0.499984740745262"/>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right/>
      <top style="thin">
        <color indexed="64"/>
      </top>
      <bottom/>
      <diagonal/>
    </border>
  </borders>
  <cellStyleXfs count="6">
    <xf numFmtId="0" fontId="0" fillId="0" borderId="0"/>
    <xf numFmtId="44" fontId="1" fillId="0" borderId="0" applyFont="0" applyFill="0" applyBorder="0" applyAlignment="0" applyProtection="0"/>
    <xf numFmtId="9" fontId="1" fillId="0" borderId="0" applyFont="0" applyFill="0" applyBorder="0" applyAlignment="0" applyProtection="0"/>
    <xf numFmtId="0" fontId="3" fillId="0" borderId="1" applyNumberFormat="0" applyFill="0" applyAlignment="0" applyProtection="0"/>
    <xf numFmtId="0" fontId="4" fillId="0" borderId="0" applyNumberFormat="0" applyFill="0" applyBorder="0" applyAlignment="0" applyProtection="0"/>
    <xf numFmtId="0" fontId="1" fillId="2" borderId="0" applyNumberFormat="0" applyBorder="0" applyAlignment="0" applyProtection="0"/>
  </cellStyleXfs>
  <cellXfs count="54">
    <xf numFmtId="0" fontId="0" fillId="0" borderId="0" xfId="0"/>
    <xf numFmtId="9" fontId="0" fillId="0" borderId="0" xfId="0" applyNumberFormat="1"/>
    <xf numFmtId="0" fontId="2" fillId="0" borderId="0" xfId="0" applyFont="1"/>
    <xf numFmtId="0" fontId="0" fillId="0" borderId="0" xfId="0" applyFill="1"/>
    <xf numFmtId="0" fontId="0" fillId="0" borderId="0" xfId="0" applyFill="1" applyAlignment="1">
      <alignment horizontal="left"/>
    </xf>
    <xf numFmtId="0" fontId="0" fillId="0" borderId="0" xfId="0" applyFill="1" applyAlignment="1"/>
    <xf numFmtId="0" fontId="3" fillId="0" borderId="1" xfId="3"/>
    <xf numFmtId="0" fontId="0" fillId="0" borderId="0" xfId="0" applyAlignment="1">
      <alignment wrapText="1"/>
    </xf>
    <xf numFmtId="0" fontId="4" fillId="0" borderId="0" xfId="4" applyFill="1" applyAlignment="1">
      <alignment horizontal="left" indent="2"/>
    </xf>
    <xf numFmtId="0" fontId="4" fillId="0" borderId="0" xfId="4"/>
    <xf numFmtId="0" fontId="5" fillId="0" borderId="0" xfId="0" applyFont="1" applyAlignment="1">
      <alignment wrapText="1"/>
    </xf>
    <xf numFmtId="0" fontId="6" fillId="0" borderId="0" xfId="0" applyFont="1"/>
    <xf numFmtId="0" fontId="0" fillId="0" borderId="0" xfId="0" applyAlignment="1"/>
    <xf numFmtId="0" fontId="4" fillId="0" borderId="2" xfId="4" applyFill="1" applyBorder="1" applyAlignment="1">
      <alignment wrapText="1"/>
    </xf>
    <xf numFmtId="0" fontId="0" fillId="0" borderId="0" xfId="0" applyFont="1"/>
    <xf numFmtId="0" fontId="4" fillId="0" borderId="0" xfId="4" applyAlignment="1"/>
    <xf numFmtId="0" fontId="0" fillId="0" borderId="2" xfId="5" applyFont="1" applyFill="1" applyBorder="1" applyAlignment="1">
      <alignment wrapText="1"/>
    </xf>
    <xf numFmtId="0" fontId="0" fillId="0" borderId="2" xfId="0" applyFill="1" applyBorder="1" applyAlignment="1"/>
    <xf numFmtId="0" fontId="0" fillId="0" borderId="2" xfId="0" applyFill="1" applyBorder="1"/>
    <xf numFmtId="0" fontId="1" fillId="0" borderId="2" xfId="5" applyFill="1" applyBorder="1" applyAlignment="1">
      <alignment horizontal="left" wrapText="1"/>
    </xf>
    <xf numFmtId="0" fontId="0" fillId="0" borderId="0" xfId="0" applyAlignment="1">
      <alignment horizontal="left"/>
    </xf>
    <xf numFmtId="9" fontId="0" fillId="0" borderId="2" xfId="2" applyFont="1" applyBorder="1"/>
    <xf numFmtId="9" fontId="2" fillId="0" borderId="2" xfId="2" applyFont="1" applyBorder="1" applyAlignment="1">
      <alignment horizontal="left"/>
    </xf>
    <xf numFmtId="0" fontId="0" fillId="4" borderId="0" xfId="0" applyFill="1"/>
    <xf numFmtId="0" fontId="10" fillId="0" borderId="2" xfId="0" applyFont="1" applyFill="1" applyBorder="1" applyAlignment="1">
      <alignment wrapText="1"/>
    </xf>
    <xf numFmtId="0" fontId="0" fillId="0" borderId="2" xfId="5" applyFont="1" applyFill="1" applyBorder="1" applyAlignment="1">
      <alignment horizontal="left" wrapText="1"/>
    </xf>
    <xf numFmtId="0" fontId="9" fillId="0" borderId="2" xfId="4" applyFont="1" applyFill="1" applyBorder="1" applyAlignment="1"/>
    <xf numFmtId="9" fontId="0" fillId="0" borderId="2" xfId="0" applyNumberFormat="1" applyBorder="1" applyAlignment="1"/>
    <xf numFmtId="9" fontId="0" fillId="0" borderId="2" xfId="2" applyFont="1" applyBorder="1" applyAlignment="1"/>
    <xf numFmtId="164" fontId="0" fillId="0" borderId="0" xfId="1" applyNumberFormat="1" applyFont="1" applyFill="1"/>
    <xf numFmtId="164" fontId="0" fillId="3" borderId="0" xfId="1" applyNumberFormat="1" applyFont="1" applyFill="1"/>
    <xf numFmtId="164" fontId="0" fillId="4" borderId="0" xfId="1" applyNumberFormat="1" applyFont="1" applyFill="1"/>
    <xf numFmtId="0" fontId="2" fillId="0" borderId="6" xfId="0" applyFont="1" applyBorder="1"/>
    <xf numFmtId="43" fontId="2" fillId="0" borderId="6" xfId="0" applyNumberFormat="1" applyFont="1" applyBorder="1"/>
    <xf numFmtId="0" fontId="0" fillId="0" borderId="7" xfId="0" applyBorder="1"/>
    <xf numFmtId="0" fontId="2" fillId="0" borderId="7" xfId="0" applyFont="1" applyBorder="1"/>
    <xf numFmtId="164" fontId="2" fillId="0" borderId="7" xfId="1" applyNumberFormat="1" applyFont="1" applyBorder="1"/>
    <xf numFmtId="0" fontId="4" fillId="0" borderId="7" xfId="4" applyBorder="1"/>
    <xf numFmtId="0" fontId="4" fillId="0" borderId="6" xfId="4" applyBorder="1"/>
    <xf numFmtId="43" fontId="2" fillId="0" borderId="6" xfId="0" applyNumberFormat="1" applyFont="1" applyFill="1" applyBorder="1"/>
    <xf numFmtId="0" fontId="0" fillId="0" borderId="6" xfId="0" applyFill="1" applyBorder="1"/>
    <xf numFmtId="9" fontId="0" fillId="4" borderId="0" xfId="2" applyFont="1" applyFill="1"/>
    <xf numFmtId="164" fontId="1" fillId="0" borderId="0" xfId="1" applyNumberFormat="1" applyFont="1"/>
    <xf numFmtId="164" fontId="1" fillId="4" borderId="0" xfId="1" applyNumberFormat="1" applyFont="1" applyFill="1"/>
    <xf numFmtId="0" fontId="1" fillId="4" borderId="0" xfId="1" applyNumberFormat="1" applyFont="1" applyFill="1"/>
    <xf numFmtId="0" fontId="9" fillId="0" borderId="3" xfId="4" applyFont="1" applyFill="1" applyBorder="1" applyAlignment="1">
      <alignment horizontal="center" wrapText="1"/>
    </xf>
    <xf numFmtId="0" fontId="9" fillId="0" borderId="4" xfId="4" applyFont="1" applyFill="1" applyBorder="1" applyAlignment="1">
      <alignment horizontal="center" wrapText="1"/>
    </xf>
    <xf numFmtId="0" fontId="9" fillId="0" borderId="5" xfId="4" applyFont="1" applyFill="1" applyBorder="1" applyAlignment="1">
      <alignment horizontal="center" wrapText="1"/>
    </xf>
    <xf numFmtId="0" fontId="2" fillId="0" borderId="3" xfId="0" applyFont="1" applyBorder="1" applyAlignment="1">
      <alignment horizontal="center"/>
    </xf>
    <xf numFmtId="0" fontId="2" fillId="0" borderId="4" xfId="0" applyFont="1" applyBorder="1" applyAlignment="1">
      <alignment horizontal="center"/>
    </xf>
    <xf numFmtId="0" fontId="2" fillId="0" borderId="5" xfId="0" applyFont="1" applyBorder="1" applyAlignment="1">
      <alignment horizontal="center"/>
    </xf>
    <xf numFmtId="0" fontId="0" fillId="0" borderId="0" xfId="0" applyFont="1" applyAlignment="1">
      <alignment horizontal="left" wrapText="1"/>
    </xf>
    <xf numFmtId="0" fontId="3" fillId="0" borderId="1" xfId="3" applyAlignment="1">
      <alignment horizontal="left" wrapText="1"/>
    </xf>
    <xf numFmtId="0" fontId="3" fillId="0" borderId="1" xfId="3" applyAlignment="1">
      <alignment horizontal="left"/>
    </xf>
  </cellXfs>
  <cellStyles count="6">
    <cellStyle name="20% - Accent1" xfId="5" builtinId="30"/>
    <cellStyle name="Currency" xfId="1" builtinId="4"/>
    <cellStyle name="Heading 2" xfId="3" builtinId="17"/>
    <cellStyle name="Heading 4" xfId="4" builtinId="19"/>
    <cellStyle name="Normal" xfId="0" builtinId="0"/>
    <cellStyle name="Percent" xfId="2" builtinId="5"/>
  </cellStyles>
  <dxfs count="0"/>
  <tableStyles count="0" defaultTableStyle="TableStyleMedium2" defaultPivotStyle="PivotStyleMedium9"/>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0</xdr:col>
      <xdr:colOff>3438525</xdr:colOff>
      <xdr:row>0</xdr:row>
      <xdr:rowOff>0</xdr:rowOff>
    </xdr:from>
    <xdr:to>
      <xdr:col>0</xdr:col>
      <xdr:colOff>4864132</xdr:colOff>
      <xdr:row>1</xdr:row>
      <xdr:rowOff>104775</xdr:rowOff>
    </xdr:to>
    <xdr:pic>
      <xdr:nvPicPr>
        <xdr:cNvPr id="2" name="Picture 1"/>
        <xdr:cNvPicPr>
          <a:picLocks noChangeAspect="1"/>
        </xdr:cNvPicPr>
      </xdr:nvPicPr>
      <xdr:blipFill rotWithShape="1">
        <a:blip xmlns:r="http://schemas.openxmlformats.org/officeDocument/2006/relationships" r:embed="rId1"/>
        <a:srcRect t="11765"/>
        <a:stretch/>
      </xdr:blipFill>
      <xdr:spPr>
        <a:xfrm>
          <a:off x="3438525" y="0"/>
          <a:ext cx="1425607" cy="571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419100</xdr:colOff>
      <xdr:row>0</xdr:row>
      <xdr:rowOff>28575</xdr:rowOff>
    </xdr:from>
    <xdr:to>
      <xdr:col>3</xdr:col>
      <xdr:colOff>0</xdr:colOff>
      <xdr:row>0</xdr:row>
      <xdr:rowOff>480346</xdr:rowOff>
    </xdr:to>
    <xdr:pic>
      <xdr:nvPicPr>
        <xdr:cNvPr id="2" name="Picture 1" descr="http://www.ahcpublications.com/assets/images/publications/24x7/image/Oct12Flukemetcal_clr.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33825" y="28575"/>
          <a:ext cx="885825" cy="4517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2686050</xdr:colOff>
      <xdr:row>0</xdr:row>
      <xdr:rowOff>38124</xdr:rowOff>
    </xdr:from>
    <xdr:to>
      <xdr:col>2</xdr:col>
      <xdr:colOff>628650</xdr:colOff>
      <xdr:row>0</xdr:row>
      <xdr:rowOff>266368</xdr:rowOff>
    </xdr:to>
    <xdr:pic>
      <xdr:nvPicPr>
        <xdr:cNvPr id="3" name="Picture 2"/>
        <xdr:cNvPicPr>
          <a:picLocks noChangeAspect="1"/>
        </xdr:cNvPicPr>
      </xdr:nvPicPr>
      <xdr:blipFill rotWithShape="1">
        <a:blip xmlns:r="http://schemas.openxmlformats.org/officeDocument/2006/relationships" r:embed="rId1"/>
        <a:srcRect t="2084" b="3472"/>
        <a:stretch/>
      </xdr:blipFill>
      <xdr:spPr>
        <a:xfrm>
          <a:off x="3209925" y="38124"/>
          <a:ext cx="1962150" cy="228244"/>
        </a:xfrm>
        <a:prstGeom prst="rect">
          <a:avLst/>
        </a:prstGeom>
      </xdr:spPr>
    </xdr:pic>
    <xdr:clientData/>
  </xdr:twoCellAnchor>
  <xdr:twoCellAnchor>
    <xdr:from>
      <xdr:col>5</xdr:col>
      <xdr:colOff>114298</xdr:colOff>
      <xdr:row>17</xdr:row>
      <xdr:rowOff>95250</xdr:rowOff>
    </xdr:from>
    <xdr:to>
      <xdr:col>12</xdr:col>
      <xdr:colOff>542925</xdr:colOff>
      <xdr:row>26</xdr:row>
      <xdr:rowOff>123825</xdr:rowOff>
    </xdr:to>
    <xdr:sp macro="" textlink="">
      <xdr:nvSpPr>
        <xdr:cNvPr id="4" name="TextBox 3"/>
        <xdr:cNvSpPr txBox="1"/>
      </xdr:nvSpPr>
      <xdr:spPr>
        <a:xfrm>
          <a:off x="7296148" y="3724275"/>
          <a:ext cx="4695827" cy="174307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buFont typeface="Arial" pitchFamily="34" charset="0"/>
            <a:buNone/>
          </a:pPr>
          <a:r>
            <a:rPr lang="en-US" sz="1050" b="0" i="0">
              <a:solidFill>
                <a:schemeClr val="dk1"/>
              </a:solidFill>
              <a:effectLst/>
              <a:latin typeface="+mn-lt"/>
              <a:ea typeface="+mn-ea"/>
              <a:cs typeface="+mn-cs"/>
            </a:rPr>
            <a:t>MET/SUPPORT Gold is an annual maintainance</a:t>
          </a:r>
          <a:r>
            <a:rPr lang="en-US" sz="1050" b="0" i="0" baseline="0">
              <a:solidFill>
                <a:schemeClr val="dk1"/>
              </a:solidFill>
              <a:effectLst/>
              <a:latin typeface="+mn-lt"/>
              <a:ea typeface="+mn-ea"/>
              <a:cs typeface="+mn-cs"/>
            </a:rPr>
            <a:t> program for MET/CAL </a:t>
          </a:r>
          <a:r>
            <a:rPr lang="en-US" sz="1050" b="0" i="1" baseline="0">
              <a:solidFill>
                <a:schemeClr val="dk1"/>
              </a:solidFill>
              <a:effectLst/>
              <a:latin typeface="+mn-lt"/>
              <a:ea typeface="+mn-ea"/>
              <a:cs typeface="+mn-cs"/>
            </a:rPr>
            <a:t>Plus </a:t>
          </a:r>
          <a:r>
            <a:rPr lang="en-US" sz="1050" b="0" i="0" baseline="0">
              <a:solidFill>
                <a:schemeClr val="dk1"/>
              </a:solidFill>
              <a:effectLst/>
              <a:latin typeface="+mn-lt"/>
              <a:ea typeface="+mn-ea"/>
              <a:cs typeface="+mn-cs"/>
            </a:rPr>
            <a:t>Software customers.</a:t>
          </a:r>
        </a:p>
        <a:p>
          <a:pPr marL="0" indent="0">
            <a:buFont typeface="Arial" pitchFamily="34" charset="0"/>
            <a:buNone/>
          </a:pPr>
          <a:endParaRPr lang="en-US" sz="1050" b="0" i="0" baseline="0">
            <a:solidFill>
              <a:schemeClr val="dk1"/>
            </a:solidFill>
            <a:effectLst/>
            <a:latin typeface="+mn-lt"/>
            <a:ea typeface="+mn-ea"/>
            <a:cs typeface="+mn-cs"/>
          </a:endParaRPr>
        </a:p>
        <a:p>
          <a:pPr marL="0" indent="0">
            <a:buFont typeface="Arial" pitchFamily="34" charset="0"/>
            <a:buNone/>
          </a:pPr>
          <a:r>
            <a:rPr lang="en-US" sz="1050" b="0" i="0" baseline="0">
              <a:solidFill>
                <a:schemeClr val="dk1"/>
              </a:solidFill>
              <a:effectLst/>
              <a:latin typeface="+mn-lt"/>
              <a:ea typeface="+mn-ea"/>
              <a:cs typeface="+mn-cs"/>
            </a:rPr>
            <a:t>Member benefits include:</a:t>
          </a:r>
          <a:endParaRPr lang="en-US" sz="1050" b="0" i="0">
            <a:solidFill>
              <a:schemeClr val="dk1"/>
            </a:solidFill>
            <a:effectLst/>
            <a:latin typeface="+mn-lt"/>
            <a:ea typeface="+mn-ea"/>
            <a:cs typeface="+mn-cs"/>
          </a:endParaRPr>
        </a:p>
        <a:p>
          <a:pPr marL="171450" indent="-171450">
            <a:buFont typeface="Arial" pitchFamily="34" charset="0"/>
            <a:buChar char="•"/>
          </a:pPr>
          <a:r>
            <a:rPr lang="en-US" sz="1050" b="0" i="0">
              <a:solidFill>
                <a:schemeClr val="dk1"/>
              </a:solidFill>
              <a:effectLst/>
              <a:latin typeface="+mn-lt"/>
              <a:ea typeface="+mn-ea"/>
              <a:cs typeface="+mn-cs"/>
            </a:rPr>
            <a:t>Priority access to software support</a:t>
          </a:r>
        </a:p>
        <a:p>
          <a:pPr marL="171450" indent="-171450">
            <a:buFont typeface="Arial" pitchFamily="34" charset="0"/>
            <a:buChar char="•"/>
          </a:pPr>
          <a:r>
            <a:rPr lang="en-US" sz="1050" b="0" i="0">
              <a:solidFill>
                <a:schemeClr val="dk1"/>
              </a:solidFill>
              <a:effectLst/>
              <a:latin typeface="+mn-lt"/>
              <a:ea typeface="+mn-ea"/>
              <a:cs typeface="+mn-cs"/>
            </a:rPr>
            <a:t>Free software upgrades</a:t>
          </a:r>
        </a:p>
        <a:p>
          <a:pPr marL="171450" marR="0" indent="-171450" defTabSz="914400" eaLnBrk="1" fontAlgn="auto" latinLnBrk="0" hangingPunct="1">
            <a:lnSpc>
              <a:spcPct val="100000"/>
            </a:lnSpc>
            <a:spcBef>
              <a:spcPts val="0"/>
            </a:spcBef>
            <a:spcAft>
              <a:spcPts val="0"/>
            </a:spcAft>
            <a:buClrTx/>
            <a:buSzTx/>
            <a:buFont typeface="Arial" pitchFamily="34" charset="0"/>
            <a:buChar char="•"/>
            <a:tabLst/>
            <a:defRPr/>
          </a:pPr>
          <a:r>
            <a:rPr lang="en-US" sz="1050" b="0" i="0">
              <a:solidFill>
                <a:schemeClr val="dk1"/>
              </a:solidFill>
              <a:effectLst/>
              <a:latin typeface="+mn-lt"/>
              <a:ea typeface="+mn-ea"/>
              <a:cs typeface="+mn-cs"/>
            </a:rPr>
            <a:t>Free access to Warranted Procedures library  with</a:t>
          </a:r>
          <a:r>
            <a:rPr lang="en-US" sz="1050" b="0" i="0" baseline="0">
              <a:solidFill>
                <a:schemeClr val="dk1"/>
              </a:solidFill>
              <a:effectLst/>
              <a:latin typeface="+mn-lt"/>
              <a:ea typeface="+mn-ea"/>
              <a:cs typeface="+mn-cs"/>
            </a:rPr>
            <a:t> over 4000 procedures</a:t>
          </a:r>
          <a:endParaRPr lang="en-US" sz="1050">
            <a:effectLst/>
          </a:endParaRPr>
        </a:p>
        <a:p>
          <a:pPr marL="171450" indent="-171450">
            <a:buFont typeface="Arial" pitchFamily="34" charset="0"/>
            <a:buChar char="•"/>
          </a:pPr>
          <a:r>
            <a:rPr lang="en-US" sz="1050" b="0" i="0">
              <a:solidFill>
                <a:schemeClr val="dk1"/>
              </a:solidFill>
              <a:effectLst/>
              <a:latin typeface="+mn-lt"/>
              <a:ea typeface="+mn-ea"/>
              <a:cs typeface="+mn-cs"/>
            </a:rPr>
            <a:t>20 % discount on calibration software training</a:t>
          </a:r>
        </a:p>
        <a:p>
          <a:pPr marL="171450" indent="-171450">
            <a:buFont typeface="Arial" pitchFamily="34" charset="0"/>
            <a:buChar char="•"/>
          </a:pPr>
          <a:r>
            <a:rPr lang="en-US" sz="1050" b="0" i="0">
              <a:solidFill>
                <a:schemeClr val="dk1"/>
              </a:solidFill>
              <a:effectLst/>
              <a:latin typeface="+mn-lt"/>
              <a:ea typeface="+mn-ea"/>
              <a:cs typeface="+mn-cs"/>
            </a:rPr>
            <a:t>20% discount on custom procedure development</a:t>
          </a:r>
        </a:p>
        <a:p>
          <a:pPr marL="171450" indent="-171450">
            <a:buFont typeface="Arial" pitchFamily="34" charset="0"/>
            <a:buChar char="•"/>
          </a:pPr>
          <a:r>
            <a:rPr lang="en-US" sz="1050" b="0" i="0">
              <a:solidFill>
                <a:schemeClr val="dk1"/>
              </a:solidFill>
              <a:effectLst/>
              <a:latin typeface="+mn-lt"/>
              <a:ea typeface="+mn-ea"/>
              <a:cs typeface="+mn-cs"/>
            </a:rPr>
            <a:t>Database services</a:t>
          </a:r>
        </a:p>
        <a:p>
          <a:endParaRPr lang="en-US" sz="105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5"/>
  <sheetViews>
    <sheetView tabSelected="1" workbookViewId="0">
      <selection activeCell="A17" sqref="A17"/>
    </sheetView>
  </sheetViews>
  <sheetFormatPr defaultRowHeight="15" x14ac:dyDescent="0.25"/>
  <cols>
    <col min="1" max="1" width="73" customWidth="1"/>
    <col min="2" max="2" width="12" customWidth="1"/>
  </cols>
  <sheetData>
    <row r="1" spans="1:2" ht="36.75" customHeight="1" x14ac:dyDescent="0.25"/>
    <row r="2" spans="1:2" ht="18" thickBot="1" x14ac:dyDescent="0.35">
      <c r="A2" s="6" t="s">
        <v>16</v>
      </c>
    </row>
    <row r="3" spans="1:2" ht="15.75" thickTop="1" x14ac:dyDescent="0.25">
      <c r="A3" s="8" t="s">
        <v>75</v>
      </c>
    </row>
    <row r="4" spans="1:2" x14ac:dyDescent="0.25">
      <c r="A4" s="8" t="s">
        <v>17</v>
      </c>
    </row>
    <row r="6" spans="1:2" ht="66.75" customHeight="1" x14ac:dyDescent="0.25">
      <c r="A6" s="7" t="s">
        <v>19</v>
      </c>
      <c r="B6" s="3"/>
    </row>
    <row r="7" spans="1:2" x14ac:dyDescent="0.25">
      <c r="B7" s="3"/>
    </row>
    <row r="8" spans="1:2" x14ac:dyDescent="0.25">
      <c r="A8" s="4" t="s">
        <v>42</v>
      </c>
      <c r="B8" s="3"/>
    </row>
    <row r="9" spans="1:2" x14ac:dyDescent="0.25">
      <c r="A9" s="5" t="s">
        <v>40</v>
      </c>
      <c r="B9" s="3"/>
    </row>
    <row r="10" spans="1:2" x14ac:dyDescent="0.25">
      <c r="A10" s="5" t="s">
        <v>41</v>
      </c>
      <c r="B10" s="3"/>
    </row>
    <row r="11" spans="1:2" x14ac:dyDescent="0.25">
      <c r="A11" s="4"/>
      <c r="B11" s="3"/>
    </row>
    <row r="12" spans="1:2" x14ac:dyDescent="0.25">
      <c r="A12" t="s">
        <v>39</v>
      </c>
      <c r="B12" s="3"/>
    </row>
    <row r="13" spans="1:2" x14ac:dyDescent="0.25">
      <c r="A13" t="s">
        <v>18</v>
      </c>
    </row>
    <row r="14" spans="1:2" x14ac:dyDescent="0.25">
      <c r="A14" s="4"/>
    </row>
    <row r="15" spans="1:2" x14ac:dyDescent="0.25">
      <c r="A15" s="4"/>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24"/>
  <sheetViews>
    <sheetView zoomScaleNormal="100" workbookViewId="0">
      <selection activeCell="J7" sqref="J7"/>
    </sheetView>
  </sheetViews>
  <sheetFormatPr defaultRowHeight="15.75" x14ac:dyDescent="0.25"/>
  <cols>
    <col min="1" max="1" width="24.7109375" style="10" customWidth="1"/>
    <col min="2" max="3" width="12.5703125" style="12" customWidth="1"/>
    <col min="4" max="4" width="12.85546875" customWidth="1"/>
    <col min="5" max="5" width="8.5703125" customWidth="1"/>
  </cols>
  <sheetData>
    <row r="1" spans="1:5" ht="31.5" customHeight="1" thickBot="1" x14ac:dyDescent="0.35">
      <c r="A1" s="52" t="s">
        <v>38</v>
      </c>
      <c r="B1" s="52"/>
      <c r="C1" s="52"/>
      <c r="D1" s="52"/>
      <c r="E1" s="52"/>
    </row>
    <row r="2" spans="1:5" ht="15" customHeight="1" thickTop="1" x14ac:dyDescent="0.25">
      <c r="A2"/>
      <c r="B2"/>
      <c r="C2"/>
    </row>
    <row r="3" spans="1:5" s="11" customFormat="1" ht="48" customHeight="1" x14ac:dyDescent="0.25">
      <c r="A3" s="51" t="s">
        <v>47</v>
      </c>
      <c r="B3" s="51"/>
      <c r="C3" s="51"/>
      <c r="D3" s="51"/>
      <c r="E3" s="51"/>
    </row>
    <row r="5" spans="1:5" ht="15" customHeight="1" x14ac:dyDescent="0.25">
      <c r="A5" s="13"/>
      <c r="B5" s="45" t="s">
        <v>32</v>
      </c>
      <c r="C5" s="46"/>
      <c r="D5" s="46"/>
      <c r="E5" s="47"/>
    </row>
    <row r="6" spans="1:5" ht="15" x14ac:dyDescent="0.25">
      <c r="A6" s="13"/>
      <c r="B6" s="26" t="s">
        <v>24</v>
      </c>
      <c r="C6" s="26" t="s">
        <v>28</v>
      </c>
      <c r="D6" s="26" t="s">
        <v>34</v>
      </c>
      <c r="E6" s="26" t="s">
        <v>36</v>
      </c>
    </row>
    <row r="7" spans="1:5" ht="36.75" x14ac:dyDescent="0.25">
      <c r="A7" s="16" t="s">
        <v>33</v>
      </c>
      <c r="B7" s="24" t="s">
        <v>30</v>
      </c>
      <c r="C7" s="17">
        <v>0</v>
      </c>
      <c r="D7" s="24" t="s">
        <v>45</v>
      </c>
      <c r="E7" s="27">
        <v>1</v>
      </c>
    </row>
    <row r="8" spans="1:5" ht="15" customHeight="1" x14ac:dyDescent="0.25">
      <c r="A8" s="19" t="s">
        <v>26</v>
      </c>
      <c r="B8" s="17">
        <v>1</v>
      </c>
      <c r="C8" s="17">
        <v>0.25</v>
      </c>
      <c r="D8" s="17">
        <f>B8-C8</f>
        <v>0.75</v>
      </c>
      <c r="E8" s="28">
        <f>D8/B8</f>
        <v>0.75</v>
      </c>
    </row>
    <row r="9" spans="1:5" ht="15" customHeight="1" x14ac:dyDescent="0.25">
      <c r="A9" s="19" t="s">
        <v>27</v>
      </c>
      <c r="B9" s="17">
        <v>3</v>
      </c>
      <c r="C9" s="17">
        <v>1</v>
      </c>
      <c r="D9" s="17">
        <f t="shared" ref="D9:D21" si="0">B9-C9</f>
        <v>2</v>
      </c>
      <c r="E9" s="28">
        <f t="shared" ref="E9:E21" si="1">D9/B9</f>
        <v>0.66666666666666663</v>
      </c>
    </row>
    <row r="10" spans="1:5" ht="15" customHeight="1" x14ac:dyDescent="0.25">
      <c r="A10" s="19" t="s">
        <v>25</v>
      </c>
      <c r="B10" s="17">
        <v>1</v>
      </c>
      <c r="C10" s="17">
        <v>0.25</v>
      </c>
      <c r="D10" s="17">
        <f t="shared" si="0"/>
        <v>0.75</v>
      </c>
      <c r="E10" s="28">
        <f t="shared" si="1"/>
        <v>0.75</v>
      </c>
    </row>
    <row r="11" spans="1:5" ht="15" customHeight="1" x14ac:dyDescent="0.25">
      <c r="A11" s="25" t="s">
        <v>46</v>
      </c>
      <c r="B11" s="17">
        <v>0.75</v>
      </c>
      <c r="C11" s="17">
        <v>0.15</v>
      </c>
      <c r="D11" s="17">
        <f t="shared" si="0"/>
        <v>0.6</v>
      </c>
      <c r="E11" s="28">
        <f t="shared" si="1"/>
        <v>0.79999999999999993</v>
      </c>
    </row>
    <row r="12" spans="1:5" ht="15" customHeight="1" x14ac:dyDescent="0.25">
      <c r="A12" s="19" t="s">
        <v>1</v>
      </c>
      <c r="B12" s="17">
        <v>2</v>
      </c>
      <c r="C12" s="17">
        <v>0.6</v>
      </c>
      <c r="D12" s="17">
        <f t="shared" si="0"/>
        <v>1.4</v>
      </c>
      <c r="E12" s="28">
        <f t="shared" si="1"/>
        <v>0.7</v>
      </c>
    </row>
    <row r="13" spans="1:5" ht="15" customHeight="1" x14ac:dyDescent="0.25">
      <c r="A13" s="19" t="s">
        <v>2</v>
      </c>
      <c r="B13" s="17">
        <v>8</v>
      </c>
      <c r="C13" s="17">
        <v>1.5</v>
      </c>
      <c r="D13" s="17">
        <f t="shared" si="0"/>
        <v>6.5</v>
      </c>
      <c r="E13" s="28">
        <f t="shared" si="1"/>
        <v>0.8125</v>
      </c>
    </row>
    <row r="14" spans="1:5" ht="15" customHeight="1" x14ac:dyDescent="0.25">
      <c r="A14" s="19" t="s">
        <v>3</v>
      </c>
      <c r="B14" s="17">
        <v>4</v>
      </c>
      <c r="C14" s="17">
        <v>1.5</v>
      </c>
      <c r="D14" s="17">
        <f t="shared" si="0"/>
        <v>2.5</v>
      </c>
      <c r="E14" s="28">
        <f t="shared" si="1"/>
        <v>0.625</v>
      </c>
    </row>
    <row r="15" spans="1:5" ht="15" customHeight="1" x14ac:dyDescent="0.25">
      <c r="A15" s="19" t="s">
        <v>4</v>
      </c>
      <c r="B15" s="17">
        <v>1.5</v>
      </c>
      <c r="C15" s="17">
        <v>0.25</v>
      </c>
      <c r="D15" s="17">
        <f t="shared" si="0"/>
        <v>1.25</v>
      </c>
      <c r="E15" s="28">
        <f t="shared" si="1"/>
        <v>0.83333333333333337</v>
      </c>
    </row>
    <row r="16" spans="1:5" ht="15" customHeight="1" x14ac:dyDescent="0.25">
      <c r="A16" s="19" t="s">
        <v>5</v>
      </c>
      <c r="B16" s="17">
        <v>1</v>
      </c>
      <c r="C16" s="17">
        <v>0.25</v>
      </c>
      <c r="D16" s="17">
        <f t="shared" si="0"/>
        <v>0.75</v>
      </c>
      <c r="E16" s="28">
        <f t="shared" si="1"/>
        <v>0.75</v>
      </c>
    </row>
    <row r="17" spans="1:5" ht="15" customHeight="1" x14ac:dyDescent="0.25">
      <c r="A17" s="19" t="s">
        <v>6</v>
      </c>
      <c r="B17" s="17">
        <v>1.5</v>
      </c>
      <c r="C17" s="17">
        <v>0.4</v>
      </c>
      <c r="D17" s="17">
        <f t="shared" si="0"/>
        <v>1.1000000000000001</v>
      </c>
      <c r="E17" s="28">
        <f t="shared" si="1"/>
        <v>0.73333333333333339</v>
      </c>
    </row>
    <row r="18" spans="1:5" ht="15" customHeight="1" x14ac:dyDescent="0.25">
      <c r="A18" s="19" t="s">
        <v>7</v>
      </c>
      <c r="B18" s="17">
        <v>1</v>
      </c>
      <c r="C18" s="17">
        <v>0.15</v>
      </c>
      <c r="D18" s="17">
        <f t="shared" si="0"/>
        <v>0.85</v>
      </c>
      <c r="E18" s="28">
        <f t="shared" si="1"/>
        <v>0.85</v>
      </c>
    </row>
    <row r="19" spans="1:5" ht="15" customHeight="1" x14ac:dyDescent="0.25">
      <c r="A19" s="19" t="s">
        <v>29</v>
      </c>
      <c r="B19" s="17">
        <v>1.5</v>
      </c>
      <c r="C19" s="17">
        <v>0.15</v>
      </c>
      <c r="D19" s="17">
        <f t="shared" si="0"/>
        <v>1.35</v>
      </c>
      <c r="E19" s="28">
        <f t="shared" si="1"/>
        <v>0.9</v>
      </c>
    </row>
    <row r="20" spans="1:5" ht="15" customHeight="1" x14ac:dyDescent="0.25">
      <c r="A20" s="19" t="s">
        <v>8</v>
      </c>
      <c r="B20" s="17">
        <v>1.5</v>
      </c>
      <c r="C20" s="17">
        <v>0.15</v>
      </c>
      <c r="D20" s="17">
        <f t="shared" si="0"/>
        <v>1.35</v>
      </c>
      <c r="E20" s="28">
        <f t="shared" si="1"/>
        <v>0.9</v>
      </c>
    </row>
    <row r="21" spans="1:5" ht="15" customHeight="1" x14ac:dyDescent="0.25">
      <c r="A21" s="19" t="s">
        <v>9</v>
      </c>
      <c r="B21" s="17">
        <v>2</v>
      </c>
      <c r="C21" s="17">
        <v>0.4</v>
      </c>
      <c r="D21" s="18">
        <f t="shared" si="0"/>
        <v>1.6</v>
      </c>
      <c r="E21" s="21">
        <f t="shared" si="1"/>
        <v>0.8</v>
      </c>
    </row>
    <row r="22" spans="1:5" ht="15" customHeight="1" x14ac:dyDescent="0.25">
      <c r="A22" s="48" t="s">
        <v>37</v>
      </c>
      <c r="B22" s="49"/>
      <c r="C22" s="49"/>
      <c r="D22" s="50"/>
      <c r="E22" s="22">
        <f>AVERAGE(E8:E21)*70%+30%*100%</f>
        <v>0.84354166666666663</v>
      </c>
    </row>
    <row r="23" spans="1:5" ht="15" customHeight="1" x14ac:dyDescent="0.25"/>
    <row r="24" spans="1:5" ht="15" customHeight="1" x14ac:dyDescent="0.25"/>
  </sheetData>
  <mergeCells count="4">
    <mergeCell ref="B5:E5"/>
    <mergeCell ref="A22:D22"/>
    <mergeCell ref="A3:E3"/>
    <mergeCell ref="A1:E1"/>
  </mergeCell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D20"/>
  <sheetViews>
    <sheetView workbookViewId="0">
      <selection activeCell="E16" sqref="E16"/>
    </sheetView>
  </sheetViews>
  <sheetFormatPr defaultRowHeight="15" x14ac:dyDescent="0.25"/>
  <cols>
    <col min="1" max="1" width="7.42578125" customWidth="1"/>
    <col min="2" max="2" width="45.28515625" customWidth="1"/>
    <col min="3" max="3" width="19.5703125" customWidth="1"/>
    <col min="4" max="4" width="16.85546875" customWidth="1"/>
    <col min="5" max="5" width="25.85546875" customWidth="1"/>
    <col min="6" max="6" width="25.5703125" customWidth="1"/>
  </cols>
  <sheetData>
    <row r="1" spans="1:4" ht="43.5" customHeight="1" thickBot="1" x14ac:dyDescent="0.35">
      <c r="A1" s="53" t="s">
        <v>68</v>
      </c>
      <c r="B1" s="53"/>
      <c r="C1" s="53"/>
    </row>
    <row r="2" spans="1:4" ht="15.75" thickTop="1" x14ac:dyDescent="0.25"/>
    <row r="3" spans="1:4" x14ac:dyDescent="0.25">
      <c r="A3" s="15" t="s">
        <v>20</v>
      </c>
    </row>
    <row r="4" spans="1:4" x14ac:dyDescent="0.25">
      <c r="B4" t="s">
        <v>69</v>
      </c>
      <c r="C4" s="30">
        <v>12150</v>
      </c>
      <c r="D4" t="s">
        <v>14</v>
      </c>
    </row>
    <row r="5" spans="1:4" x14ac:dyDescent="0.25">
      <c r="B5" t="s">
        <v>70</v>
      </c>
      <c r="C5" s="30">
        <v>4965</v>
      </c>
      <c r="D5" t="s">
        <v>14</v>
      </c>
    </row>
    <row r="6" spans="1:4" x14ac:dyDescent="0.25">
      <c r="B6" t="s">
        <v>72</v>
      </c>
      <c r="C6" s="23">
        <v>1</v>
      </c>
    </row>
    <row r="7" spans="1:4" x14ac:dyDescent="0.25">
      <c r="B7" t="s">
        <v>71</v>
      </c>
      <c r="C7" s="23">
        <v>1</v>
      </c>
    </row>
    <row r="8" spans="1:4" x14ac:dyDescent="0.25">
      <c r="B8" t="s">
        <v>73</v>
      </c>
      <c r="C8" s="29">
        <f>SUMPRODUCT(C4:C5,C6:C7)</f>
        <v>17115</v>
      </c>
    </row>
    <row r="10" spans="1:4" x14ac:dyDescent="0.25">
      <c r="A10" s="15" t="s">
        <v>31</v>
      </c>
    </row>
    <row r="11" spans="1:4" x14ac:dyDescent="0.25">
      <c r="B11" t="s">
        <v>44</v>
      </c>
      <c r="C11" s="23">
        <v>2</v>
      </c>
    </row>
    <row r="12" spans="1:4" x14ac:dyDescent="0.25">
      <c r="B12" t="s">
        <v>0</v>
      </c>
      <c r="C12" s="31">
        <v>60</v>
      </c>
    </row>
    <row r="13" spans="1:4" x14ac:dyDescent="0.25">
      <c r="B13" t="s">
        <v>48</v>
      </c>
      <c r="C13" s="23">
        <v>10</v>
      </c>
    </row>
    <row r="14" spans="1:4" x14ac:dyDescent="0.25">
      <c r="B14" s="20" t="s">
        <v>35</v>
      </c>
      <c r="C14" s="23">
        <v>50</v>
      </c>
    </row>
    <row r="15" spans="1:4" x14ac:dyDescent="0.25">
      <c r="B15" t="s">
        <v>43</v>
      </c>
      <c r="C15" s="1">
        <f>Auto_vs._Manual!E22</f>
        <v>0.84354166666666663</v>
      </c>
    </row>
    <row r="17" spans="1:4" x14ac:dyDescent="0.25">
      <c r="A17" s="15" t="s">
        <v>23</v>
      </c>
    </row>
    <row r="18" spans="1:4" x14ac:dyDescent="0.25">
      <c r="A18" s="35"/>
      <c r="B18" s="35" t="s">
        <v>49</v>
      </c>
      <c r="C18" s="36">
        <f>C11*C12*C13*C14*C15</f>
        <v>50612.5</v>
      </c>
      <c r="D18" s="35"/>
    </row>
    <row r="19" spans="1:4" ht="15.75" thickBot="1" x14ac:dyDescent="0.3">
      <c r="A19" s="32"/>
      <c r="B19" s="32" t="s">
        <v>50</v>
      </c>
      <c r="C19" s="33">
        <f>C8/C18</f>
        <v>0.33815756977031364</v>
      </c>
      <c r="D19" s="32" t="s">
        <v>51</v>
      </c>
    </row>
    <row r="20" spans="1:4" ht="15.75" thickTop="1" x14ac:dyDescent="0.25"/>
  </sheetData>
  <mergeCells count="1">
    <mergeCell ref="A1:C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D31"/>
  <sheetViews>
    <sheetView workbookViewId="0">
      <selection activeCell="G15" sqref="G15"/>
    </sheetView>
  </sheetViews>
  <sheetFormatPr defaultRowHeight="15" x14ac:dyDescent="0.25"/>
  <cols>
    <col min="1" max="1" width="7.85546875" style="9" customWidth="1"/>
    <col min="2" max="2" width="60.28515625" customWidth="1"/>
    <col min="3" max="3" width="9.7109375" customWidth="1"/>
    <col min="4" max="4" width="20.7109375" customWidth="1"/>
  </cols>
  <sheetData>
    <row r="1" spans="1:4" ht="45" customHeight="1" thickBot="1" x14ac:dyDescent="0.35">
      <c r="A1" s="53" t="s">
        <v>52</v>
      </c>
      <c r="B1" s="53"/>
      <c r="C1" s="53"/>
    </row>
    <row r="2" spans="1:4" ht="15.75" thickTop="1" x14ac:dyDescent="0.25">
      <c r="A2" s="9" t="s">
        <v>20</v>
      </c>
    </row>
    <row r="3" spans="1:4" x14ac:dyDescent="0.25">
      <c r="B3" s="14" t="s">
        <v>57</v>
      </c>
      <c r="C3" s="30">
        <v>6895</v>
      </c>
      <c r="D3" t="s">
        <v>67</v>
      </c>
    </row>
    <row r="4" spans="1:4" x14ac:dyDescent="0.25">
      <c r="B4" s="2"/>
    </row>
    <row r="5" spans="1:4" x14ac:dyDescent="0.25">
      <c r="A5" s="9" t="s">
        <v>22</v>
      </c>
    </row>
    <row r="6" spans="1:4" x14ac:dyDescent="0.25">
      <c r="B6" t="s">
        <v>12</v>
      </c>
      <c r="C6" s="30">
        <v>2500</v>
      </c>
      <c r="D6" t="s">
        <v>58</v>
      </c>
    </row>
    <row r="7" spans="1:4" x14ac:dyDescent="0.25">
      <c r="B7" t="s">
        <v>13</v>
      </c>
      <c r="C7" s="23">
        <v>1.5</v>
      </c>
    </row>
    <row r="8" spans="1:4" x14ac:dyDescent="0.25">
      <c r="B8" s="2" t="s">
        <v>53</v>
      </c>
      <c r="C8" s="29">
        <f>C6/C7</f>
        <v>1666.6666666666667</v>
      </c>
    </row>
    <row r="10" spans="1:4" x14ac:dyDescent="0.25">
      <c r="B10" t="s">
        <v>11</v>
      </c>
      <c r="C10" s="23">
        <v>50</v>
      </c>
    </row>
    <row r="11" spans="1:4" x14ac:dyDescent="0.25">
      <c r="B11" t="s">
        <v>60</v>
      </c>
      <c r="C11" s="31">
        <v>60</v>
      </c>
    </row>
    <row r="12" spans="1:4" x14ac:dyDescent="0.25">
      <c r="B12" t="s">
        <v>59</v>
      </c>
      <c r="C12" s="23">
        <v>3</v>
      </c>
    </row>
    <row r="13" spans="1:4" x14ac:dyDescent="0.25">
      <c r="B13" t="s">
        <v>61</v>
      </c>
      <c r="C13" s="23">
        <v>20</v>
      </c>
    </row>
    <row r="14" spans="1:4" x14ac:dyDescent="0.25">
      <c r="B14" t="s">
        <v>62</v>
      </c>
      <c r="C14" s="31">
        <v>3000</v>
      </c>
    </row>
    <row r="15" spans="1:4" x14ac:dyDescent="0.25">
      <c r="B15" t="s">
        <v>63</v>
      </c>
      <c r="C15" s="29">
        <f>C10*C11*SUM(C12:C13)+C14</f>
        <v>72000</v>
      </c>
    </row>
    <row r="16" spans="1:4" x14ac:dyDescent="0.25">
      <c r="B16" t="s">
        <v>10</v>
      </c>
      <c r="C16" s="41">
        <v>0.6</v>
      </c>
      <c r="D16" t="s">
        <v>74</v>
      </c>
    </row>
    <row r="17" spans="1:4" x14ac:dyDescent="0.25">
      <c r="B17" s="2" t="s">
        <v>54</v>
      </c>
      <c r="C17" s="42">
        <f>C15*C16</f>
        <v>43200</v>
      </c>
    </row>
    <row r="18" spans="1:4" x14ac:dyDescent="0.25">
      <c r="C18" s="14"/>
    </row>
    <row r="19" spans="1:4" x14ac:dyDescent="0.25">
      <c r="B19" t="s">
        <v>64</v>
      </c>
      <c r="C19" s="43">
        <v>5000</v>
      </c>
    </row>
    <row r="20" spans="1:4" x14ac:dyDescent="0.25">
      <c r="B20" s="2" t="s">
        <v>55</v>
      </c>
      <c r="C20" s="42">
        <f>C19*20%</f>
        <v>1000</v>
      </c>
    </row>
    <row r="21" spans="1:4" x14ac:dyDescent="0.25">
      <c r="C21" s="14"/>
    </row>
    <row r="22" spans="1:4" x14ac:dyDescent="0.25">
      <c r="B22" t="s">
        <v>66</v>
      </c>
      <c r="C22" s="43">
        <v>2000</v>
      </c>
    </row>
    <row r="23" spans="1:4" x14ac:dyDescent="0.25">
      <c r="B23" t="s">
        <v>15</v>
      </c>
      <c r="C23" s="44">
        <v>0.5</v>
      </c>
    </row>
    <row r="24" spans="1:4" x14ac:dyDescent="0.25">
      <c r="B24" s="2" t="s">
        <v>65</v>
      </c>
      <c r="C24" s="42">
        <f>C22*C23</f>
        <v>1000</v>
      </c>
    </row>
    <row r="25" spans="1:4" x14ac:dyDescent="0.25">
      <c r="B25" s="2"/>
      <c r="C25" s="2"/>
    </row>
    <row r="26" spans="1:4" x14ac:dyDescent="0.25">
      <c r="A26" s="9" t="s">
        <v>56</v>
      </c>
    </row>
    <row r="27" spans="1:4" x14ac:dyDescent="0.25">
      <c r="A27" s="37"/>
      <c r="B27" s="35" t="s">
        <v>21</v>
      </c>
      <c r="C27" s="36">
        <f>C24+C20+C17+C8</f>
        <v>46866.666666666664</v>
      </c>
      <c r="D27" s="34"/>
    </row>
    <row r="28" spans="1:4" ht="15.75" thickBot="1" x14ac:dyDescent="0.3">
      <c r="A28" s="38"/>
      <c r="B28" s="32" t="s">
        <v>50</v>
      </c>
      <c r="C28" s="39">
        <f>C3/C27</f>
        <v>0.14711948790896159</v>
      </c>
      <c r="D28" s="40" t="s">
        <v>51</v>
      </c>
    </row>
    <row r="29" spans="1:4" ht="15.75" thickTop="1" x14ac:dyDescent="0.25"/>
    <row r="30" spans="1:4" x14ac:dyDescent="0.25">
      <c r="B30" s="2"/>
    </row>
    <row r="31" spans="1:4" x14ac:dyDescent="0.25">
      <c r="B31" s="2"/>
    </row>
  </sheetData>
  <mergeCells count="1">
    <mergeCell ref="A1:C1"/>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Introduction</vt:lpstr>
      <vt:lpstr>Auto_vs._Manual</vt:lpstr>
      <vt:lpstr>METCAL ROI</vt:lpstr>
      <vt:lpstr>MS Gold ROI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2016-04-11T23:52:22Z</dcterms:modified>
</cp:coreProperties>
</file>